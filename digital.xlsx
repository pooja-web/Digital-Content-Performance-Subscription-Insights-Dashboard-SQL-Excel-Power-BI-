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3" activeTab="2"/>
  </bookViews>
  <sheets>
    <sheet name="content_pivot" sheetId="5" r:id="rId1"/>
    <sheet name="Content Performance" sheetId="1" r:id="rId2"/>
    <sheet name="subscription_pivot" sheetId="10" r:id="rId3"/>
    <sheet name="Subscription Funnel" sheetId="2" r:id="rId4"/>
    <sheet name="Traffic_pivot" sheetId="11" r:id="rId5"/>
    <sheet name="Traffic Source" sheetId="3" r:id="rId6"/>
    <sheet name="Sheet4" sheetId="4" r:id="rId7"/>
    <sheet name="Sheet9" sheetId="9" r:id="rId8"/>
  </sheets>
  <definedNames>
    <definedName name="Slicer_Publish_Date">#N/A</definedName>
    <definedName name="Slicer_Category">#N/A</definedName>
    <definedName name="Slicer_Brand">#N/A</definedName>
    <definedName name="Slicer_Brand1">#N/A</definedName>
    <definedName name="Slicer_Brand2">#N/A</definedName>
    <definedName name="Slicer_Date">#N/A</definedName>
    <definedName name="Slicer_Total_Traffic">#N/A</definedName>
  </definedNames>
  <calcPr calcId="191029"/>
  <pivotCaches>
    <pivotCache cacheId="0" r:id="rId9"/>
    <pivotCache cacheId="1" r:id="rId10"/>
    <pivotCache cacheId="2" r:id="rId11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<sst xmlns="http://schemas.openxmlformats.org/spreadsheetml/2006/main" count="104" uniqueCount="54">
  <si>
    <t>Brand</t>
  </si>
  <si>
    <t>Sum of Views</t>
  </si>
  <si>
    <t>Sum of Page_Revenue</t>
  </si>
  <si>
    <t>Allrecipes</t>
  </si>
  <si>
    <t>Food&amp;Wine</t>
  </si>
  <si>
    <t>Investopedia</t>
  </si>
  <si>
    <t>People</t>
  </si>
  <si>
    <t>Travel+Leisure</t>
  </si>
  <si>
    <t>Verywell</t>
  </si>
  <si>
    <t>Grand Total</t>
  </si>
  <si>
    <t>Article_ID</t>
  </si>
  <si>
    <t>Category</t>
  </si>
  <si>
    <t>Publish_Date</t>
  </si>
  <si>
    <t>Views</t>
  </si>
  <si>
    <t>Avg_Time_Spent</t>
  </si>
  <si>
    <t>Shares</t>
  </si>
  <si>
    <t>Page_Revenue</t>
  </si>
  <si>
    <t>Lifestyle</t>
  </si>
  <si>
    <t>Entertainment</t>
  </si>
  <si>
    <t>Recipes</t>
  </si>
  <si>
    <t>Cooking</t>
  </si>
  <si>
    <t>Health</t>
  </si>
  <si>
    <t>Finance</t>
  </si>
  <si>
    <t>Travel</t>
  </si>
  <si>
    <t>Mental Health</t>
  </si>
  <si>
    <t>Sum of User_ID</t>
  </si>
  <si>
    <t>Sum of Subscription_Revenue</t>
  </si>
  <si>
    <t>User_ID</t>
  </si>
  <si>
    <t>Country</t>
  </si>
  <si>
    <t>Page_Visited</t>
  </si>
  <si>
    <t>Subscribed</t>
  </si>
  <si>
    <t>Subscription_Revenue</t>
  </si>
  <si>
    <t>US</t>
  </si>
  <si>
    <t>Lifestyle Article</t>
  </si>
  <si>
    <t>Y</t>
  </si>
  <si>
    <t>India</t>
  </si>
  <si>
    <t>Recipe Page</t>
  </si>
  <si>
    <t>N</t>
  </si>
  <si>
    <t>UK</t>
  </si>
  <si>
    <t>Finance Guide</t>
  </si>
  <si>
    <t>Health Article</t>
  </si>
  <si>
    <t>Canada</t>
  </si>
  <si>
    <t>Cooking Page</t>
  </si>
  <si>
    <t>News Article</t>
  </si>
  <si>
    <t>Australia</t>
  </si>
  <si>
    <t>Mental Health Article</t>
  </si>
  <si>
    <t>Sum of Total_Traffic</t>
  </si>
  <si>
    <t>Date</t>
  </si>
  <si>
    <t>Direct</t>
  </si>
  <si>
    <t>Organic</t>
  </si>
  <si>
    <t>Social</t>
  </si>
  <si>
    <t>Referral</t>
  </si>
  <si>
    <t>Email</t>
  </si>
  <si>
    <t>Total_Traffic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</si>
</sst>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[digital.xlsx]content_pivot!PivotTable1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content_pivot!$B$3</c:f>
              <c:strCache>
                <c:ptCount val="1"/>
                <c:pt idx="0">
                  <c:v>Sum of Views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content_pivot!$A$4:$A$10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content_pivot!$B$4:$B$10</c:f>
              <c:numCache>
                <c:formatCode>General</c:formatCode>
                <c:ptCount val="6"/>
                <c:pt idx="0">
                  <c:v>32000</c:v>
                </c:pt>
                <c:pt idx="1">
                  <c:v>51000</c:v>
                </c:pt>
                <c:pt idx="2">
                  <c:v>28000</c:v>
                </c:pt>
                <c:pt idx="3">
                  <c:v>56500</c:v>
                </c:pt>
                <c:pt idx="4">
                  <c:v>22000</c:v>
                </c:pt>
                <c:pt idx="5">
                  <c:v>34000</c:v>
                </c:pt>
              </c:numCache>
            </c:numRef>
          </c:val>
        </c:ser>
        <c:ser>
          <c:idx val="1"/>
          <c:order val="1"/>
          <c:tx>
            <c:strRef>
              <c:f>content_pivot!$C$3</c:f>
              <c:strCache>
                <c:ptCount val="1"/>
                <c:pt idx="0">
                  <c:v>Sum of Page_Revenue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content_pivot!$A$4:$A$10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content_pivot!$C$4:$C$10</c:f>
              <c:numCache>
                <c:formatCode>General</c:formatCode>
                <c:ptCount val="6"/>
                <c:pt idx="0">
                  <c:v>500</c:v>
                </c:pt>
                <c:pt idx="1">
                  <c:v>860</c:v>
                </c:pt>
                <c:pt idx="2">
                  <c:v>1100</c:v>
                </c:pt>
                <c:pt idx="3">
                  <c:v>980</c:v>
                </c:pt>
                <c:pt idx="4">
                  <c:v>430</c:v>
                </c:pt>
                <c:pt idx="5">
                  <c:v>880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5e1557-dbcd-497e-a448-01da94b013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[digital.xlsx]content_pivot!PivotTable1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content_pivot!$B$3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content_pivot!$A$4:$A$10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content_pivot!$B$4:$B$10</c:f>
              <c:numCache>
                <c:formatCode>General</c:formatCode>
                <c:ptCount val="6"/>
                <c:pt idx="0">
                  <c:v>32000</c:v>
                </c:pt>
                <c:pt idx="1">
                  <c:v>51000</c:v>
                </c:pt>
                <c:pt idx="2">
                  <c:v>28000</c:v>
                </c:pt>
                <c:pt idx="3">
                  <c:v>56500</c:v>
                </c:pt>
                <c:pt idx="4">
                  <c:v>22000</c:v>
                </c:pt>
                <c:pt idx="5">
                  <c:v>34000</c:v>
                </c:pt>
              </c:numCache>
            </c:numRef>
          </c:val>
        </c:ser>
        <c:ser>
          <c:idx val="1"/>
          <c:order val="1"/>
          <c:tx>
            <c:strRef>
              <c:f>content_pivot!$C$3</c:f>
              <c:strCache>
                <c:ptCount val="1"/>
                <c:pt idx="0">
                  <c:v>Sum of Page_Revenue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content_pivot!$A$4:$A$10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content_pivot!$C$4:$C$10</c:f>
              <c:numCache>
                <c:formatCode>General</c:formatCode>
                <c:ptCount val="6"/>
                <c:pt idx="0">
                  <c:v>500</c:v>
                </c:pt>
                <c:pt idx="1">
                  <c:v>860</c:v>
                </c:pt>
                <c:pt idx="2">
                  <c:v>1100</c:v>
                </c:pt>
                <c:pt idx="3">
                  <c:v>980</c:v>
                </c:pt>
                <c:pt idx="4">
                  <c:v>430</c:v>
                </c:pt>
                <c:pt idx="5">
                  <c:v>880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00779647"/>
        <c:axId val="634567466"/>
      </c:barChart>
      <c:catAx>
        <c:axId val="80077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567466"/>
        <c:crosses val="autoZero"/>
        <c:auto val="1"/>
        <c:lblAlgn val="ctr"/>
        <c:lblOffset val="100"/>
        <c:noMultiLvlLbl val="0"/>
      </c:catAx>
      <c:valAx>
        <c:axId val="6345674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77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078d20-9eb1-4ed8-b164-c73ef7b4ed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[digital.xlsx]subscription_pivot!PivotTable1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subscription_pivot!$B$3</c:f>
              <c:strCache>
                <c:ptCount val="1"/>
                <c:pt idx="0">
                  <c:v>Sum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subscription_pivot!$A$4:$A$9</c:f>
              <c:strCache>
                <c:ptCount val="5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Verywell</c:v>
                </c:pt>
              </c:strCache>
            </c:strRef>
          </c:cat>
          <c:val>
            <c:numRef>
              <c:f>subscription_pivot!$B$4:$B$9</c:f>
              <c:numCache>
                <c:formatCode>General</c:formatCode>
                <c:ptCount val="5"/>
                <c:pt idx="0">
                  <c:v>105</c:v>
                </c:pt>
                <c:pt idx="1">
                  <c:v>102</c:v>
                </c:pt>
                <c:pt idx="2">
                  <c:v>103</c:v>
                </c:pt>
                <c:pt idx="3">
                  <c:v>207</c:v>
                </c:pt>
                <c:pt idx="4">
                  <c:v>211</c:v>
                </c:pt>
              </c:numCache>
            </c:numRef>
          </c:val>
        </c:ser>
        <c:ser>
          <c:idx val="1"/>
          <c:order val="1"/>
          <c:tx>
            <c:strRef>
              <c:f>subscription_pivot!$C$3</c:f>
              <c:strCache>
                <c:ptCount val="1"/>
                <c:pt idx="0">
                  <c:v>Sum of Subscription_Revenue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subscription_pivot!$A$4:$A$9</c:f>
              <c:strCache>
                <c:ptCount val="5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Verywell</c:v>
                </c:pt>
              </c:strCache>
            </c:strRef>
          </c:cat>
          <c:val>
            <c:numRef>
              <c:f>subscription_pivot!$C$4:$C$9</c:f>
              <c:numCache>
                <c:formatCode>General</c:formatCode>
                <c:ptCount val="5"/>
                <c:pt idx="0">
                  <c:v>89</c:v>
                </c:pt>
                <c:pt idx="1">
                  <c:v>0</c:v>
                </c:pt>
                <c:pt idx="2">
                  <c:v>120</c:v>
                </c:pt>
                <c:pt idx="3">
                  <c:v>198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06696824"/>
        <c:axId val="679302300"/>
      </c:barChart>
      <c:catAx>
        <c:axId val="106696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302300"/>
        <c:crosses val="autoZero"/>
        <c:auto val="1"/>
        <c:lblAlgn val="ctr"/>
        <c:lblOffset val="100"/>
        <c:noMultiLvlLbl val="0"/>
      </c:catAx>
      <c:valAx>
        <c:axId val="6793023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69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[digital.xlsx]subscription_pivot!PivotTable1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subscription_pivot!$B$3</c:f>
              <c:strCache>
                <c:ptCount val="1"/>
                <c:pt idx="0">
                  <c:v>Sum of User_ID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subscription_pivot!$A$4:$A$9</c:f>
              <c:strCache>
                <c:ptCount val="5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Verywell</c:v>
                </c:pt>
              </c:strCache>
            </c:strRef>
          </c:cat>
          <c:val>
            <c:numRef>
              <c:f>subscription_pivot!$B$4:$B$9</c:f>
              <c:numCache>
                <c:formatCode>General</c:formatCode>
                <c:ptCount val="5"/>
                <c:pt idx="0">
                  <c:v>105</c:v>
                </c:pt>
                <c:pt idx="1">
                  <c:v>102</c:v>
                </c:pt>
                <c:pt idx="2">
                  <c:v>103</c:v>
                </c:pt>
                <c:pt idx="3">
                  <c:v>207</c:v>
                </c:pt>
                <c:pt idx="4">
                  <c:v>211</c:v>
                </c:pt>
              </c:numCache>
            </c:numRef>
          </c:val>
        </c:ser>
        <c:ser>
          <c:idx val="1"/>
          <c:order val="1"/>
          <c:tx>
            <c:strRef>
              <c:f>subscription_pivot!$C$3</c:f>
              <c:strCache>
                <c:ptCount val="1"/>
                <c:pt idx="0">
                  <c:v>Sum of Subscription_Revenue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subscription_pivot!$A$4:$A$9</c:f>
              <c:strCache>
                <c:ptCount val="5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Verywell</c:v>
                </c:pt>
              </c:strCache>
            </c:strRef>
          </c:cat>
          <c:val>
            <c:numRef>
              <c:f>subscription_pivot!$C$4:$C$9</c:f>
              <c:numCache>
                <c:formatCode>General</c:formatCode>
                <c:ptCount val="5"/>
                <c:pt idx="0">
                  <c:v>89</c:v>
                </c:pt>
                <c:pt idx="1">
                  <c:v>0</c:v>
                </c:pt>
                <c:pt idx="2">
                  <c:v>120</c:v>
                </c:pt>
                <c:pt idx="3">
                  <c:v>198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[digital.xlsx]Traffic_pivot!PivotTable2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Traffic_pivot!$B$3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Traffic_pivot!$A$4:$A$10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Traffic_pivot!$B$4:$B$10</c:f>
              <c:numCache>
                <c:formatCode>General</c:formatCode>
                <c:ptCount val="6"/>
                <c:pt idx="0">
                  <c:v>31900</c:v>
                </c:pt>
                <c:pt idx="1">
                  <c:v>24100</c:v>
                </c:pt>
                <c:pt idx="2">
                  <c:v>25800</c:v>
                </c:pt>
                <c:pt idx="3">
                  <c:v>20400</c:v>
                </c:pt>
                <c:pt idx="4">
                  <c:v>26500</c:v>
                </c:pt>
                <c:pt idx="5">
                  <c:v>20900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[digital.xlsx]Traffic_pivot!PivotTable2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Traffic_pivot!$B$3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Traffic_pivot!$A$4:$A$10</c:f>
              <c:strCache>
                <c:ptCount val="6"/>
                <c:pt idx="0">
                  <c:v>Allrecipes</c:v>
                </c:pt>
                <c:pt idx="1">
                  <c:v>Food&amp;Wine</c:v>
                </c:pt>
                <c:pt idx="2">
                  <c:v>Investopedia</c:v>
                </c:pt>
                <c:pt idx="3">
                  <c:v>People</c:v>
                </c:pt>
                <c:pt idx="4">
                  <c:v>Travel+Leisure</c:v>
                </c:pt>
                <c:pt idx="5">
                  <c:v>Verywell</c:v>
                </c:pt>
              </c:strCache>
            </c:strRef>
          </c:cat>
          <c:val>
            <c:numRef>
              <c:f>Traffic_pivot!$B$4:$B$10</c:f>
              <c:numCache>
                <c:formatCode>General</c:formatCode>
                <c:ptCount val="6"/>
                <c:pt idx="0">
                  <c:v>31900</c:v>
                </c:pt>
                <c:pt idx="1">
                  <c:v>24100</c:v>
                </c:pt>
                <c:pt idx="2">
                  <c:v>25800</c:v>
                </c:pt>
                <c:pt idx="3">
                  <c:v>20400</c:v>
                </c:pt>
                <c:pt idx="4">
                  <c:v>26500</c:v>
                </c:pt>
                <c:pt idx="5">
                  <c:v>20900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7397447"/>
        <c:axId val="362378063"/>
      </c:barChart>
      <c:catAx>
        <c:axId val="797397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378063"/>
        <c:crosses val="autoZero"/>
        <c:auto val="1"/>
        <c:lblAlgn val="ctr"/>
        <c:lblOffset val="100"/>
        <c:noMultiLvlLbl val="0"/>
      </c:catAx>
      <c:valAx>
        <c:axId val="3623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397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1089025</xdr:colOff>
      <xdr:row>10</xdr:row>
      <xdr:rowOff>117475</xdr:rowOff>
    </xdr:from>
    <xdr:to>
      <xdr:col>2</xdr:col>
      <xdr:colOff>1403350</xdr:colOff>
      <xdr:row>23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Bran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9150" y="20224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120650</xdr:colOff>
      <xdr:row>11</xdr:row>
      <xdr:rowOff>158750</xdr:rowOff>
    </xdr:from>
    <xdr:to>
      <xdr:col>6</xdr:col>
      <xdr:colOff>120650</xdr:colOff>
      <xdr:row>23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9725" y="2254250"/>
              <a:ext cx="1828800" cy="227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10</xdr:row>
      <xdr:rowOff>146050</xdr:rowOff>
    </xdr:from>
    <xdr:to>
      <xdr:col>1</xdr:col>
      <xdr:colOff>829310</xdr:colOff>
      <xdr:row>23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ublish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blish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20510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50800</xdr:colOff>
      <xdr:row>1</xdr:row>
      <xdr:rowOff>3175</xdr:rowOff>
    </xdr:from>
    <xdr:to>
      <xdr:col>17</xdr:col>
      <xdr:colOff>57150</xdr:colOff>
      <xdr:row>12</xdr:row>
      <xdr:rowOff>165735</xdr:rowOff>
    </xdr:to>
    <xdr:graphicFrame>
      <xdr:nvGraphicFramePr>
        <xdr:cNvPr id="5" name="Chart 4"/>
        <xdr:cNvGraphicFramePr/>
      </xdr:nvGraphicFramePr>
      <xdr:xfrm>
        <a:off x="8347075" y="193675"/>
        <a:ext cx="4273550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155575</xdr:colOff>
      <xdr:row>1</xdr:row>
      <xdr:rowOff>3175</xdr:rowOff>
    </xdr:from>
    <xdr:to>
      <xdr:col>10</xdr:col>
      <xdr:colOff>95250</xdr:colOff>
      <xdr:row>11</xdr:row>
      <xdr:rowOff>80010</xdr:rowOff>
    </xdr:to>
    <xdr:graphicFrame>
      <xdr:nvGraphicFramePr>
        <xdr:cNvPr id="6" name="Chart 5"/>
        <xdr:cNvGraphicFramePr/>
      </xdr:nvGraphicFramePr>
      <xdr:xfrm>
        <a:off x="4184650" y="193675"/>
        <a:ext cx="4206875" cy="1981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358775</xdr:colOff>
      <xdr:row>0</xdr:row>
      <xdr:rowOff>114935</xdr:rowOff>
    </xdr:from>
    <xdr:to>
      <xdr:col>10</xdr:col>
      <xdr:colOff>521970</xdr:colOff>
      <xdr:row>13</xdr:row>
      <xdr:rowOff>53975</xdr:rowOff>
    </xdr:to>
    <xdr:graphicFrame>
      <xdr:nvGraphicFramePr>
        <xdr:cNvPr id="2" name="Chart 1"/>
        <xdr:cNvGraphicFramePr/>
      </xdr:nvGraphicFramePr>
      <xdr:xfrm>
        <a:off x="5302250" y="114935"/>
        <a:ext cx="4430395" cy="241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1430020</xdr:colOff>
      <xdr:row>13</xdr:row>
      <xdr:rowOff>146050</xdr:rowOff>
    </xdr:from>
    <xdr:to>
      <xdr:col>5</xdr:col>
      <xdr:colOff>148590</xdr:colOff>
      <xdr:row>24</xdr:row>
      <xdr:rowOff>148590</xdr:rowOff>
    </xdr:to>
    <xdr:graphicFrame>
      <xdr:nvGraphicFramePr>
        <xdr:cNvPr id="4" name="Chart 3"/>
        <xdr:cNvGraphicFramePr/>
      </xdr:nvGraphicFramePr>
      <xdr:xfrm>
        <a:off x="2334895" y="2622550"/>
        <a:ext cx="3976370" cy="209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127000</xdr:colOff>
      <xdr:row>9</xdr:row>
      <xdr:rowOff>177800</xdr:rowOff>
    </xdr:from>
    <xdr:to>
      <xdr:col>1</xdr:col>
      <xdr:colOff>1050925</xdr:colOff>
      <xdr:row>22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Bran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1892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117475</xdr:colOff>
      <xdr:row>0</xdr:row>
      <xdr:rowOff>12700</xdr:rowOff>
    </xdr:from>
    <xdr:to>
      <xdr:col>7</xdr:col>
      <xdr:colOff>172085</xdr:colOff>
      <xdr:row>10</xdr:row>
      <xdr:rowOff>174625</xdr:rowOff>
    </xdr:to>
    <xdr:graphicFrame>
      <xdr:nvGraphicFramePr>
        <xdr:cNvPr id="2" name="Chart 1"/>
        <xdr:cNvGraphicFramePr/>
      </xdr:nvGraphicFramePr>
      <xdr:xfrm>
        <a:off x="2470150" y="12700"/>
        <a:ext cx="3769360" cy="206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450850</xdr:colOff>
      <xdr:row>0</xdr:row>
      <xdr:rowOff>12700</xdr:rowOff>
    </xdr:from>
    <xdr:to>
      <xdr:col>13</xdr:col>
      <xdr:colOff>343535</xdr:colOff>
      <xdr:row>12</xdr:row>
      <xdr:rowOff>146685</xdr:rowOff>
    </xdr:to>
    <xdr:graphicFrame>
      <xdr:nvGraphicFramePr>
        <xdr:cNvPr id="4" name="Chart 3"/>
        <xdr:cNvGraphicFramePr/>
      </xdr:nvGraphicFramePr>
      <xdr:xfrm>
        <a:off x="6518275" y="12700"/>
        <a:ext cx="3731260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88900</xdr:colOff>
      <xdr:row>10</xdr:row>
      <xdr:rowOff>31750</xdr:rowOff>
    </xdr:from>
    <xdr:to>
      <xdr:col>1</xdr:col>
      <xdr:colOff>917575</xdr:colOff>
      <xdr:row>22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Brand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0" y="1936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558800</xdr:colOff>
      <xdr:row>11</xdr:row>
      <xdr:rowOff>111125</xdr:rowOff>
    </xdr:from>
    <xdr:to>
      <xdr:col>7</xdr:col>
      <xdr:colOff>25400</xdr:colOff>
      <xdr:row>24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4025" y="2206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1143000</xdr:colOff>
      <xdr:row>11</xdr:row>
      <xdr:rowOff>95250</xdr:rowOff>
    </xdr:from>
    <xdr:to>
      <xdr:col>3</xdr:col>
      <xdr:colOff>266700</xdr:colOff>
      <xdr:row>22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Total_Traffi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Traff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5" y="2190750"/>
              <a:ext cx="1828800" cy="208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3412731482" refreshedBy="HariK" recordCount="10">
  <cacheSource type="worksheet">
    <worksheetSource ref="A1:H11" sheet="Content Performance"/>
  </cacheSource>
  <cacheFields count="8">
    <cacheField name="Article_ID" numFmtId="0">
      <sharedItems containsSemiMixedTypes="0" containsString="0" containsNumber="1" containsInteger="1" minValue="0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Brand" numFmtId="0">
      <sharedItems count="6">
        <s v="People"/>
        <s v="Food&amp;Wine"/>
        <s v="Allrecipes"/>
        <s v="Verywell"/>
        <s v="Investopedia"/>
        <s v="Travel+Leisure"/>
      </sharedItems>
    </cacheField>
    <cacheField name="Category" numFmtId="0">
      <sharedItems count="8">
        <s v="Lifestyle"/>
        <s v="Entertainment"/>
        <s v="Recipes"/>
        <s v="Cooking"/>
        <s v="Health"/>
        <s v="Finance"/>
        <s v="Travel"/>
        <s v="Mental Health"/>
      </sharedItems>
    </cacheField>
    <cacheField name="Publish_Date" numFmtId="58">
      <sharedItems containsSemiMixedTypes="0" containsString="0" containsNonDate="0" containsDate="1" minDate="2025-01-02T00:00:00" maxDate="2025-01-07T00:00:00" count="6">
        <d v="2025-01-02T00:00:00"/>
        <d v="2025-01-03T00:00:00"/>
        <d v="2025-01-04T00:00:00"/>
        <d v="2025-01-05T00:00:00"/>
        <d v="2025-01-06T00:00:00"/>
        <d v="2025-01-07T00:00:00"/>
      </sharedItems>
    </cacheField>
    <cacheField name="Views" numFmtId="0">
      <sharedItems containsSemiMixedTypes="0" containsString="0" containsNumber="1" containsInteger="1" minValue="0" maxValue="32000" count="10">
        <n v="12000"/>
        <n v="18500"/>
        <n v="24000"/>
        <n v="32000"/>
        <n v="19000"/>
        <n v="28000"/>
        <n v="22000"/>
        <n v="26000"/>
        <n v="15000"/>
        <n v="27000"/>
      </sharedItems>
    </cacheField>
    <cacheField name="Avg_Time_Spent" numFmtId="0">
      <sharedItems containsSemiMixedTypes="0" containsString="0" containsNumber="1" minValue="0" maxValue="6.4" count="10">
        <n v="3.5"/>
        <n v="4.2"/>
        <n v="4.9"/>
        <n v="5.3"/>
        <n v="6.1"/>
        <n v="5.8"/>
        <n v="4.7"/>
        <n v="4.1"/>
        <n v="6.4"/>
        <n v="4.3"/>
      </sharedItems>
    </cacheField>
    <cacheField name="Shares" numFmtId="0">
      <sharedItems containsSemiMixedTypes="0" containsString="0" containsNumber="1" containsInteger="1" minValue="0" maxValue="840" count="10">
        <n v="420"/>
        <n v="520"/>
        <n v="780"/>
        <n v="840"/>
        <n v="350"/>
        <n v="200"/>
        <n v="610"/>
        <n v="750"/>
        <n v="290"/>
        <n v="810"/>
      </sharedItems>
    </cacheField>
    <cacheField name="Page_Revenue" numFmtId="0">
      <sharedItems containsSemiMixedTypes="0" containsString="0" containsNumber="1" containsInteger="1" minValue="0" maxValue="1100" count="10">
        <n v="250"/>
        <n v="340"/>
        <n v="410"/>
        <n v="500"/>
        <n v="460"/>
        <n v="1100"/>
        <n v="430"/>
        <n v="390"/>
        <n v="420"/>
        <n v="4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8012152778" refreshedBy="HariK" recordCount="7">
  <cacheSource type="worksheet">
    <worksheetSource ref="A1:F8" sheet="Subscription Funnel"/>
  </cacheSource>
  <cacheFields count="6">
    <cacheField name="User_ID" numFmtId="0">
      <sharedItems containsSemiMixedTypes="0" containsString="0" containsNumber="1" containsInteger="1" minValue="101" maxValue="107" count="7">
        <n v="101"/>
        <n v="102"/>
        <n v="103"/>
        <n v="104"/>
        <n v="105"/>
        <n v="106"/>
        <n v="107"/>
      </sharedItems>
    </cacheField>
    <cacheField name="Brand" numFmtId="0">
      <sharedItems count="5">
        <s v="People"/>
        <s v="Food&amp;Wine"/>
        <s v="Investopedia"/>
        <s v="Verywell"/>
        <s v="Allrecipes"/>
      </sharedItems>
    </cacheField>
    <cacheField name="Country" numFmtId="0">
      <sharedItems count="5">
        <s v="US"/>
        <s v="India"/>
        <s v="UK"/>
        <s v="Canada"/>
        <s v="Australia"/>
      </sharedItems>
    </cacheField>
    <cacheField name="Page_Visited" numFmtId="0">
      <sharedItems count="7">
        <s v="Lifestyle Article"/>
        <s v="Recipe Page"/>
        <s v="Finance Guide"/>
        <s v="Health Article"/>
        <s v="Cooking Page"/>
        <s v="News Article"/>
        <s v="Mental Health Article"/>
      </sharedItems>
    </cacheField>
    <cacheField name="Subscribed" numFmtId="0">
      <sharedItems count="2">
        <s v="Y"/>
        <s v="N"/>
      </sharedItems>
    </cacheField>
    <cacheField name="Subscription_Revenue" numFmtId="0">
      <sharedItems containsSemiMixedTypes="0" containsString="0" containsNumber="1" containsInteger="1" minValue="0" maxValue="120" count="4">
        <n v="99"/>
        <n v="0"/>
        <n v="120"/>
        <n v="89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8075810185" refreshedBy="HariK" recordCount="6">
  <cacheSource type="worksheet">
    <worksheetSource ref="A1:H7" sheet="Traffic Source"/>
  </cacheSource>
  <cacheFields count="8">
    <cacheField name="Brand" numFmtId="0">
      <sharedItems count="6">
        <s v="People"/>
        <s v="Food&amp;Wine"/>
        <s v="Investopedia"/>
        <s v="Verywell"/>
        <s v="Allrecipes"/>
        <s v="Travel+Leisure"/>
      </sharedItems>
    </cacheField>
    <cacheField name="Date" numFmtId="58">
      <sharedItems containsSemiMixedTypes="0" containsString="0" containsNonDate="0" containsDate="1" minDate="2025-01-02T00:00:00" maxDate="2025-01-05T00:00:00" count="4">
        <d v="2025-01-02T00:00:00"/>
        <d v="2025-01-03T00:00:00"/>
        <d v="2025-01-04T00:00:00"/>
        <d v="2025-01-05T00:00:00"/>
      </sharedItems>
    </cacheField>
    <cacheField name="Direct" numFmtId="0">
      <sharedItems containsSemiMixedTypes="0" containsString="0" containsNumber="1" containsInteger="1" minValue="4800" maxValue="7300" count="6">
        <n v="5100"/>
        <n v="6400"/>
        <n v="7300"/>
        <n v="4800"/>
        <n v="5600"/>
        <n v="6500"/>
      </sharedItems>
    </cacheField>
    <cacheField name="Organic" numFmtId="0">
      <sharedItems containsSemiMixedTypes="0" containsString="0" containsNumber="1" containsInteger="1" minValue="8400" maxValue="15400" count="6">
        <n v="8400"/>
        <n v="9200"/>
        <n v="11500"/>
        <n v="10100"/>
        <n v="15400"/>
        <n v="9800"/>
      </sharedItems>
    </cacheField>
    <cacheField name="Social" numFmtId="0">
      <sharedItems containsSemiMixedTypes="0" containsString="0" containsNumber="1" containsInteger="1" minValue="2300" maxValue="6200" count="6">
        <n v="3200"/>
        <n v="4300"/>
        <n v="2300"/>
        <n v="2600"/>
        <n v="6200"/>
        <n v="5200"/>
      </sharedItems>
    </cacheField>
    <cacheField name="Referral" numFmtId="0">
      <sharedItems containsSemiMixedTypes="0" containsString="0" containsNumber="1" containsInteger="1" minValue="2100" maxValue="3200" count="5">
        <n v="2100"/>
        <n v="2500"/>
        <n v="3200"/>
        <n v="2900"/>
        <n v="3000"/>
      </sharedItems>
    </cacheField>
    <cacheField name="Email" numFmtId="0">
      <sharedItems containsSemiMixedTypes="0" containsString="0" containsNumber="1" containsInteger="1" minValue="1300" maxValue="2000" count="6">
        <n v="1600"/>
        <n v="1700"/>
        <n v="1500"/>
        <n v="1300"/>
        <n v="1800"/>
        <n v="2000"/>
      </sharedItems>
    </cacheField>
    <cacheField name="Total_Traffic" numFmtId="0">
      <sharedItems containsSemiMixedTypes="0" containsString="0" containsNumber="1" containsInteger="1" minValue="20400" maxValue="31900" count="6">
        <n v="20400"/>
        <n v="24100"/>
        <n v="25800"/>
        <n v="20900"/>
        <n v="31900"/>
        <n v="26500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</r>
  <r>
    <x v="1"/>
    <x v="0"/>
    <x v="1"/>
    <x v="1"/>
    <x v="1"/>
    <x v="1"/>
    <x v="1"/>
    <x v="1"/>
  </r>
  <r>
    <x v="2"/>
    <x v="1"/>
    <x v="2"/>
    <x v="1"/>
    <x v="2"/>
    <x v="2"/>
    <x v="2"/>
    <x v="2"/>
  </r>
  <r>
    <x v="3"/>
    <x v="2"/>
    <x v="3"/>
    <x v="2"/>
    <x v="3"/>
    <x v="3"/>
    <x v="3"/>
    <x v="3"/>
  </r>
  <r>
    <x v="4"/>
    <x v="3"/>
    <x v="4"/>
    <x v="2"/>
    <x v="4"/>
    <x v="4"/>
    <x v="4"/>
    <x v="4"/>
  </r>
  <r>
    <x v="5"/>
    <x v="4"/>
    <x v="5"/>
    <x v="2"/>
    <x v="5"/>
    <x v="5"/>
    <x v="5"/>
    <x v="5"/>
  </r>
  <r>
    <x v="6"/>
    <x v="5"/>
    <x v="6"/>
    <x v="3"/>
    <x v="6"/>
    <x v="6"/>
    <x v="6"/>
    <x v="6"/>
  </r>
  <r>
    <x v="7"/>
    <x v="0"/>
    <x v="0"/>
    <x v="4"/>
    <x v="7"/>
    <x v="7"/>
    <x v="7"/>
    <x v="7"/>
  </r>
  <r>
    <x v="8"/>
    <x v="3"/>
    <x v="7"/>
    <x v="4"/>
    <x v="8"/>
    <x v="8"/>
    <x v="8"/>
    <x v="8"/>
  </r>
  <r>
    <x v="9"/>
    <x v="1"/>
    <x v="2"/>
    <x v="5"/>
    <x v="9"/>
    <x v="9"/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0"/>
    <x v="2"/>
  </r>
  <r>
    <x v="3"/>
    <x v="3"/>
    <x v="0"/>
    <x v="3"/>
    <x v="1"/>
    <x v="1"/>
  </r>
  <r>
    <x v="4"/>
    <x v="4"/>
    <x v="3"/>
    <x v="4"/>
    <x v="0"/>
    <x v="3"/>
  </r>
  <r>
    <x v="5"/>
    <x v="0"/>
    <x v="0"/>
    <x v="5"/>
    <x v="0"/>
    <x v="0"/>
  </r>
  <r>
    <x v="6"/>
    <x v="3"/>
    <x v="4"/>
    <x v="6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1"/>
    <x v="2"/>
    <x v="2"/>
    <x v="2"/>
    <x v="2"/>
    <x v="2"/>
    <x v="2"/>
  </r>
  <r>
    <x v="3"/>
    <x v="2"/>
    <x v="3"/>
    <x v="3"/>
    <x v="3"/>
    <x v="0"/>
    <x v="3"/>
    <x v="3"/>
  </r>
  <r>
    <x v="4"/>
    <x v="2"/>
    <x v="4"/>
    <x v="4"/>
    <x v="4"/>
    <x v="3"/>
    <x v="4"/>
    <x v="4"/>
  </r>
  <r>
    <x v="5"/>
    <x v="3"/>
    <x v="5"/>
    <x v="5"/>
    <x v="5"/>
    <x v="4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0" firstHeaderRow="0" firstDataRow="1" firstDataCol="1"/>
  <pivotFields count="8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7">
        <item x="2"/>
        <item x="1"/>
        <item x="4"/>
        <item x="0"/>
        <item x="5"/>
        <item x="3"/>
        <item t="default"/>
      </items>
    </pivotField>
    <pivotField compact="0" showAll="0">
      <items count="9">
        <item x="3"/>
        <item x="1"/>
        <item x="5"/>
        <item x="4"/>
        <item x="0"/>
        <item x="7"/>
        <item x="2"/>
        <item x="6"/>
        <item t="default"/>
      </items>
    </pivotField>
    <pivotField compact="0" numFmtId="58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1">
        <item x="0"/>
        <item x="8"/>
        <item x="1"/>
        <item x="4"/>
        <item x="6"/>
        <item x="2"/>
        <item x="7"/>
        <item x="9"/>
        <item x="5"/>
        <item x="3"/>
        <item t="default"/>
      </items>
    </pivotField>
    <pivotField compact="0" showAll="0">
      <items count="11">
        <item x="0"/>
        <item x="7"/>
        <item x="1"/>
        <item x="9"/>
        <item x="6"/>
        <item x="2"/>
        <item x="3"/>
        <item x="5"/>
        <item x="4"/>
        <item x="8"/>
        <item t="default"/>
      </items>
    </pivotField>
    <pivotField compact="0" showAll="0">
      <items count="11">
        <item x="5"/>
        <item x="8"/>
        <item x="4"/>
        <item x="0"/>
        <item x="1"/>
        <item x="6"/>
        <item x="7"/>
        <item x="2"/>
        <item x="9"/>
        <item x="3"/>
        <item t="default"/>
      </items>
    </pivotField>
    <pivotField dataField="1" compact="0" showAll="0">
      <items count="11">
        <item x="0"/>
        <item x="1"/>
        <item x="7"/>
        <item x="2"/>
        <item x="8"/>
        <item x="6"/>
        <item x="9"/>
        <item x="4"/>
        <item x="3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ews" fld="4" baseField="0" baseItem="0"/>
    <dataField name="Sum of Page_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C9" firstHeaderRow="0" firstDataRow="1" firstDataCol="1"/>
  <pivotFields count="6"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multipleItemSelectionAllowed="1" showAll="0">
      <items count="6">
        <item x="4"/>
        <item x="1"/>
        <item x="2"/>
        <item x="0"/>
        <item x="3"/>
        <item t="default"/>
      </items>
    </pivotField>
    <pivotField compact="0" showAll="0">
      <items count="6">
        <item x="4"/>
        <item x="3"/>
        <item x="1"/>
        <item x="2"/>
        <item x="0"/>
        <item t="default"/>
      </items>
    </pivotField>
    <pivotField compact="0" showAll="0">
      <items count="8">
        <item x="4"/>
        <item x="2"/>
        <item x="3"/>
        <item x="0"/>
        <item x="6"/>
        <item x="5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5">
        <item x="1"/>
        <item x="3"/>
        <item x="0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er_ID" fld="0" baseField="0" baseItem="0"/>
    <dataField name="Sum of Subscription_Revenue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8">
    <pivotField axis="axisRow" compact="0" showAll="0">
      <items count="7">
        <item x="4"/>
        <item x="1"/>
        <item x="2"/>
        <item x="0"/>
        <item x="5"/>
        <item x="3"/>
        <item t="default"/>
      </items>
    </pivotField>
    <pivotField compact="0" numFmtId="58" showAll="0">
      <items count="5">
        <item x="0"/>
        <item x="1"/>
        <item x="2"/>
        <item x="3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7">
        <item x="0"/>
        <item x="1"/>
        <item x="5"/>
        <item x="3"/>
        <item x="2"/>
        <item x="4"/>
        <item t="default"/>
      </items>
    </pivotField>
    <pivotField compact="0" showAll="0">
      <items count="7">
        <item x="2"/>
        <item x="3"/>
        <item x="0"/>
        <item x="1"/>
        <item x="5"/>
        <item x="4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7">
        <item x="3"/>
        <item x="2"/>
        <item x="0"/>
        <item x="1"/>
        <item x="4"/>
        <item x="5"/>
        <item t="default"/>
      </items>
    </pivotField>
    <pivotField dataField="1" compact="0" showAll="0">
      <items count="7">
        <item x="0"/>
        <item x="3"/>
        <item x="1"/>
        <item x="2"/>
        <item x="5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Traffic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blish_Date" sourceName="Publish_Date">
  <pivotTables>
    <pivotTable tabId="5" name="PivotTable1"/>
  </pivotTables>
  <data>
    <tabular pivotCacheId="1">
      <items count="6">
        <i x="0" s="1"/>
        <i x="1" s="1"/>
        <i x="2" s="1"/>
        <i x="3" s="1"/>
        <i x="4" s="1"/>
        <i x="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1"/>
  </pivotTables>
  <data>
    <tabular pivotCacheId="1">
      <items count="8">
        <i x="3" s="1"/>
        <i x="1" s="1"/>
        <i x="5" s="1"/>
        <i x="4" s="1"/>
        <i x="0" s="1"/>
        <i x="7" s="1"/>
        <i x="2" s="1"/>
        <i x="6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d" sourceName="Brand">
  <pivotTables>
    <pivotTable tabId="5" name="PivotTable1"/>
  </pivotTables>
  <data>
    <tabular pivotCacheId="1">
      <items count="6">
        <i x="2" s="1"/>
        <i x="1" s="1"/>
        <i x="4" s="1"/>
        <i x="0" s="1"/>
        <i x="5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d1" sourceName="Brand">
  <pivotTables>
    <pivotTable tabId="10" name="PivotTable1"/>
  </pivotTables>
  <data>
    <tabular pivotCacheId="2">
      <items count="5">
        <i x="4" s="1"/>
        <i x="1" s="1"/>
        <i x="2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d2" sourceName="Brand">
  <pivotTables>
    <pivotTable tabId="11" name="PivotTable2"/>
  </pivotTables>
  <data>
    <tabular pivotCacheId="3">
      <items count="6">
        <i x="4" s="1"/>
        <i x="1" s="1"/>
        <i x="2" s="1"/>
        <i x="0" s="1"/>
        <i x="5" s="1"/>
        <i x="3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11" name="PivotTable2"/>
  </pivotTables>
  <data>
    <tabular pivotCacheId="3">
      <items count="4">
        <i x="0" s="1"/>
        <i x="1" s="1"/>
        <i x="2" s="1"/>
        <i x="3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Traffic" sourceName="Total_Traffic">
  <pivotTables>
    <pivotTable tabId="11" name="PivotTable2"/>
  </pivotTables>
  <data>
    <tabular pivotCacheId="3">
      <items count="6">
        <i x="0" s="1"/>
        <i x="3" s="1"/>
        <i x="1" s="1"/>
        <i x="2" s="1"/>
        <i x="5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rand" cache="Slicer_Brand" caption="Brand" rowHeight="225425"/>
  <slicer name="Category" cache="Slicer_Category" caption="Category" rowHeight="225425"/>
  <slicer name="Publish_Date" cache="Slicer_Publish_Date" caption="Publish_Date" style="SlicerStyleLight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rand 1" cache="Slicer_Brand1" caption="Brand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rand 2" cache="Slicer_Brand2" caption="Brand" rowHeight="225425"/>
  <slicer name="Date" cache="Slicer_Date" caption="Date" rowHeight="225425"/>
  <slicer name="Total_Traffic" cache="Slicer_Total_Traffic" caption="Total_Traffic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workbookViewId="0">
      <selection activeCell="K17" sqref="K17"/>
    </sheetView>
  </sheetViews>
  <sheetFormatPr defaultColWidth="9.14285714285714" defaultRowHeight="15" outlineLevelCol="2"/>
  <cols>
    <col min="1" max="1" width="15"/>
    <col min="2" max="3" width="22.7142857142857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32000</v>
      </c>
      <c r="C4">
        <v>500</v>
      </c>
    </row>
    <row r="5" spans="1:3">
      <c r="A5" t="s">
        <v>4</v>
      </c>
      <c r="B5">
        <v>51000</v>
      </c>
      <c r="C5">
        <v>860</v>
      </c>
    </row>
    <row r="6" spans="1:3">
      <c r="A6" t="s">
        <v>5</v>
      </c>
      <c r="B6">
        <v>28000</v>
      </c>
      <c r="C6">
        <v>1100</v>
      </c>
    </row>
    <row r="7" spans="1:3">
      <c r="A7" t="s">
        <v>6</v>
      </c>
      <c r="B7">
        <v>56500</v>
      </c>
      <c r="C7">
        <v>980</v>
      </c>
    </row>
    <row r="8" spans="1:3">
      <c r="A8" t="s">
        <v>7</v>
      </c>
      <c r="B8">
        <v>22000</v>
      </c>
      <c r="C8">
        <v>430</v>
      </c>
    </row>
    <row r="9" spans="1:3">
      <c r="A9" t="s">
        <v>8</v>
      </c>
      <c r="B9">
        <v>34000</v>
      </c>
      <c r="C9">
        <v>880</v>
      </c>
    </row>
    <row r="10" spans="1:3">
      <c r="A10" t="s">
        <v>9</v>
      </c>
      <c r="B10">
        <v>223500</v>
      </c>
      <c r="C10">
        <v>4750</v>
      </c>
    </row>
  </sheetData>
  <pageMargins left="0.75" right="0.75" top="1" bottom="1" header="0.5" footer="0.5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I11"/>
    </sheetView>
  </sheetViews>
  <sheetFormatPr defaultColWidth="9.14285714285714" defaultRowHeight="15" outlineLevelCol="7"/>
  <sheetData>
    <row r="1" ht="30" spans="1:8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2">
        <v>1</v>
      </c>
      <c r="B2" s="2" t="s">
        <v>6</v>
      </c>
      <c r="C2" s="2" t="s">
        <v>17</v>
      </c>
      <c r="D2" s="3">
        <v>45659</v>
      </c>
      <c r="E2" s="2">
        <v>12000</v>
      </c>
      <c r="F2" s="2">
        <v>3.5</v>
      </c>
      <c r="G2" s="2">
        <v>420</v>
      </c>
      <c r="H2" s="2">
        <v>250</v>
      </c>
    </row>
    <row r="3" ht="30" spans="1:8">
      <c r="A3" s="2">
        <v>2</v>
      </c>
      <c r="B3" s="2" t="s">
        <v>6</v>
      </c>
      <c r="C3" s="2" t="s">
        <v>18</v>
      </c>
      <c r="D3" s="3">
        <v>45660</v>
      </c>
      <c r="E3" s="2">
        <v>18500</v>
      </c>
      <c r="F3" s="2">
        <v>4.2</v>
      </c>
      <c r="G3" s="2">
        <v>520</v>
      </c>
      <c r="H3" s="2">
        <v>340</v>
      </c>
    </row>
    <row r="4" ht="30" spans="1:8">
      <c r="A4" s="2">
        <v>3</v>
      </c>
      <c r="B4" s="2" t="s">
        <v>4</v>
      </c>
      <c r="C4" s="2" t="s">
        <v>19</v>
      </c>
      <c r="D4" s="3">
        <v>45660</v>
      </c>
      <c r="E4" s="2">
        <v>24000</v>
      </c>
      <c r="F4" s="2">
        <v>4.9</v>
      </c>
      <c r="G4" s="2">
        <v>780</v>
      </c>
      <c r="H4" s="2">
        <v>410</v>
      </c>
    </row>
    <row r="5" ht="30" spans="1:8">
      <c r="A5" s="2">
        <v>4</v>
      </c>
      <c r="B5" s="2" t="s">
        <v>3</v>
      </c>
      <c r="C5" s="2" t="s">
        <v>20</v>
      </c>
      <c r="D5" s="3">
        <v>45661</v>
      </c>
      <c r="E5" s="2">
        <v>32000</v>
      </c>
      <c r="F5" s="2">
        <v>5.3</v>
      </c>
      <c r="G5" s="2">
        <v>840</v>
      </c>
      <c r="H5" s="2">
        <v>500</v>
      </c>
    </row>
    <row r="6" spans="1:8">
      <c r="A6" s="2">
        <v>5</v>
      </c>
      <c r="B6" s="2" t="s">
        <v>8</v>
      </c>
      <c r="C6" s="2" t="s">
        <v>21</v>
      </c>
      <c r="D6" s="3">
        <v>45661</v>
      </c>
      <c r="E6" s="2">
        <v>19000</v>
      </c>
      <c r="F6" s="2">
        <v>6.1</v>
      </c>
      <c r="G6" s="2">
        <v>350</v>
      </c>
      <c r="H6" s="2">
        <v>460</v>
      </c>
    </row>
    <row r="7" ht="30" spans="1:8">
      <c r="A7" s="2">
        <v>6</v>
      </c>
      <c r="B7" s="2" t="s">
        <v>5</v>
      </c>
      <c r="C7" s="2" t="s">
        <v>22</v>
      </c>
      <c r="D7" s="3">
        <v>45661</v>
      </c>
      <c r="E7" s="2">
        <v>28000</v>
      </c>
      <c r="F7" s="2">
        <v>5.8</v>
      </c>
      <c r="G7" s="2">
        <v>200</v>
      </c>
      <c r="H7" s="2">
        <v>1100</v>
      </c>
    </row>
    <row r="8" ht="30" spans="1:8">
      <c r="A8" s="2">
        <v>7</v>
      </c>
      <c r="B8" s="2" t="s">
        <v>7</v>
      </c>
      <c r="C8" s="2" t="s">
        <v>23</v>
      </c>
      <c r="D8" s="3">
        <v>45662</v>
      </c>
      <c r="E8" s="2">
        <v>22000</v>
      </c>
      <c r="F8" s="2">
        <v>4.7</v>
      </c>
      <c r="G8" s="2">
        <v>610</v>
      </c>
      <c r="H8" s="2">
        <v>430</v>
      </c>
    </row>
    <row r="9" spans="1:8">
      <c r="A9" s="2">
        <v>8</v>
      </c>
      <c r="B9" s="2" t="s">
        <v>6</v>
      </c>
      <c r="C9" s="2" t="s">
        <v>17</v>
      </c>
      <c r="D9" s="3">
        <v>45663</v>
      </c>
      <c r="E9" s="2">
        <v>26000</v>
      </c>
      <c r="F9" s="2">
        <v>4.1</v>
      </c>
      <c r="G9" s="2">
        <v>750</v>
      </c>
      <c r="H9" s="2">
        <v>390</v>
      </c>
    </row>
    <row r="10" ht="30" spans="1:8">
      <c r="A10" s="2">
        <v>9</v>
      </c>
      <c r="B10" s="2" t="s">
        <v>8</v>
      </c>
      <c r="C10" s="2" t="s">
        <v>24</v>
      </c>
      <c r="D10" s="3">
        <v>45663</v>
      </c>
      <c r="E10" s="2">
        <v>15000</v>
      </c>
      <c r="F10" s="2">
        <v>6.4</v>
      </c>
      <c r="G10" s="2">
        <v>290</v>
      </c>
      <c r="H10" s="2">
        <v>420</v>
      </c>
    </row>
    <row r="11" ht="30" spans="1:8">
      <c r="A11" s="2">
        <v>10</v>
      </c>
      <c r="B11" s="2" t="s">
        <v>4</v>
      </c>
      <c r="C11" s="2" t="s">
        <v>19</v>
      </c>
      <c r="D11" s="3">
        <v>45664</v>
      </c>
      <c r="E11" s="2">
        <v>27000</v>
      </c>
      <c r="F11" s="2">
        <v>4.3</v>
      </c>
      <c r="G11" s="2">
        <v>810</v>
      </c>
      <c r="H11" s="2">
        <v>450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tabSelected="1" zoomScale="90" zoomScaleNormal="90" workbookViewId="0">
      <selection activeCell="J18" sqref="J18"/>
    </sheetView>
  </sheetViews>
  <sheetFormatPr defaultColWidth="9.14285714285714" defaultRowHeight="15" outlineLevelCol="2"/>
  <cols>
    <col min="1" max="1" width="13.5714285714286"/>
    <col min="2" max="3" width="30.2857142857143"/>
  </cols>
  <sheetData>
    <row r="3" spans="1:3">
      <c r="A3" t="s">
        <v>0</v>
      </c>
      <c r="B3" t="s">
        <v>25</v>
      </c>
      <c r="C3" t="s">
        <v>26</v>
      </c>
    </row>
    <row r="4" spans="1:3">
      <c r="A4" t="s">
        <v>3</v>
      </c>
      <c r="B4">
        <v>105</v>
      </c>
      <c r="C4">
        <v>89</v>
      </c>
    </row>
    <row r="5" spans="1:3">
      <c r="A5" t="s">
        <v>4</v>
      </c>
      <c r="B5">
        <v>102</v>
      </c>
      <c r="C5">
        <v>0</v>
      </c>
    </row>
    <row r="6" spans="1:3">
      <c r="A6" t="s">
        <v>5</v>
      </c>
      <c r="B6">
        <v>103</v>
      </c>
      <c r="C6">
        <v>120</v>
      </c>
    </row>
    <row r="7" spans="1:3">
      <c r="A7" t="s">
        <v>6</v>
      </c>
      <c r="B7">
        <v>207</v>
      </c>
      <c r="C7">
        <v>198</v>
      </c>
    </row>
    <row r="8" spans="1:3">
      <c r="A8" t="s">
        <v>8</v>
      </c>
      <c r="B8">
        <v>211</v>
      </c>
      <c r="C8">
        <v>0</v>
      </c>
    </row>
    <row r="9" spans="1:3">
      <c r="A9" t="s">
        <v>9</v>
      </c>
      <c r="B9">
        <v>728</v>
      </c>
      <c r="C9">
        <v>407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F8"/>
    </sheetView>
  </sheetViews>
  <sheetFormatPr defaultColWidth="9.14285714285714" defaultRowHeight="15" outlineLevelCol="7"/>
  <sheetData>
    <row r="1" ht="45" spans="1:8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/>
      <c r="H1" s="1"/>
    </row>
    <row r="2" ht="30" spans="1:8">
      <c r="A2" s="2">
        <v>101</v>
      </c>
      <c r="B2" s="2" t="s">
        <v>6</v>
      </c>
      <c r="C2" s="2" t="s">
        <v>32</v>
      </c>
      <c r="D2" s="2" t="s">
        <v>33</v>
      </c>
      <c r="E2" s="2" t="s">
        <v>34</v>
      </c>
      <c r="F2" s="2">
        <v>99</v>
      </c>
      <c r="G2" s="2"/>
      <c r="H2" s="2"/>
    </row>
    <row r="3" ht="30" spans="1:8">
      <c r="A3" s="2">
        <v>102</v>
      </c>
      <c r="B3" s="2" t="s">
        <v>4</v>
      </c>
      <c r="C3" s="2" t="s">
        <v>35</v>
      </c>
      <c r="D3" s="2" t="s">
        <v>36</v>
      </c>
      <c r="E3" s="2" t="s">
        <v>37</v>
      </c>
      <c r="F3" s="2">
        <v>0</v>
      </c>
      <c r="G3" s="2"/>
      <c r="H3" s="2"/>
    </row>
    <row r="4" ht="30" spans="1:8">
      <c r="A4" s="2">
        <v>103</v>
      </c>
      <c r="B4" s="2" t="s">
        <v>5</v>
      </c>
      <c r="C4" s="2" t="s">
        <v>38</v>
      </c>
      <c r="D4" s="2" t="s">
        <v>39</v>
      </c>
      <c r="E4" s="2" t="s">
        <v>34</v>
      </c>
      <c r="F4" s="2">
        <v>120</v>
      </c>
      <c r="G4" s="2"/>
      <c r="H4" s="2"/>
    </row>
    <row r="5" ht="30" spans="1:8">
      <c r="A5" s="2">
        <v>104</v>
      </c>
      <c r="B5" s="2" t="s">
        <v>8</v>
      </c>
      <c r="C5" s="2" t="s">
        <v>32</v>
      </c>
      <c r="D5" s="2" t="s">
        <v>40</v>
      </c>
      <c r="E5" s="2" t="s">
        <v>37</v>
      </c>
      <c r="F5" s="2">
        <v>0</v>
      </c>
      <c r="G5" s="2"/>
      <c r="H5" s="2"/>
    </row>
    <row r="6" ht="30" spans="1:8">
      <c r="A6" s="2">
        <v>105</v>
      </c>
      <c r="B6" s="2" t="s">
        <v>3</v>
      </c>
      <c r="C6" s="2" t="s">
        <v>41</v>
      </c>
      <c r="D6" s="2" t="s">
        <v>42</v>
      </c>
      <c r="E6" s="2" t="s">
        <v>34</v>
      </c>
      <c r="F6" s="2">
        <v>89</v>
      </c>
      <c r="G6" s="2"/>
      <c r="H6" s="2"/>
    </row>
    <row r="7" ht="30" spans="1:8">
      <c r="A7" s="2">
        <v>106</v>
      </c>
      <c r="B7" s="2" t="s">
        <v>6</v>
      </c>
      <c r="C7" s="2" t="s">
        <v>32</v>
      </c>
      <c r="D7" s="2" t="s">
        <v>43</v>
      </c>
      <c r="E7" s="2" t="s">
        <v>34</v>
      </c>
      <c r="F7" s="2">
        <v>99</v>
      </c>
      <c r="G7" s="2"/>
      <c r="H7" s="2"/>
    </row>
    <row r="8" ht="45" spans="1:8">
      <c r="A8" s="2">
        <v>107</v>
      </c>
      <c r="B8" s="2" t="s">
        <v>8</v>
      </c>
      <c r="C8" s="2" t="s">
        <v>44</v>
      </c>
      <c r="D8" s="2" t="s">
        <v>45</v>
      </c>
      <c r="E8" s="2" t="s">
        <v>37</v>
      </c>
      <c r="F8" s="2">
        <v>0</v>
      </c>
      <c r="G8" s="2"/>
      <c r="H8" s="2"/>
    </row>
    <row r="9" spans="1:8">
      <c r="A9" s="2"/>
      <c r="B9" s="2"/>
      <c r="C9" s="2"/>
      <c r="D9" s="3"/>
      <c r="E9" s="2"/>
      <c r="F9" s="2"/>
      <c r="G9" s="2"/>
      <c r="H9" s="2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>
      <c r="A11" s="2"/>
      <c r="B11" s="2"/>
      <c r="C11" s="2"/>
      <c r="D11" s="3"/>
      <c r="E11" s="2"/>
      <c r="F11" s="2"/>
      <c r="G11" s="2"/>
      <c r="H11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3" sqref="A3"/>
    </sheetView>
  </sheetViews>
  <sheetFormatPr defaultColWidth="9.14285714285714" defaultRowHeight="15" outlineLevelCol="1"/>
  <cols>
    <col min="1" max="1" width="15"/>
    <col min="2" max="3" width="20.2857142857143"/>
    <col min="4" max="7" width="8.85714285714286"/>
    <col min="8" max="8" width="11.8571428571429"/>
  </cols>
  <sheetData>
    <row r="3" spans="1:2">
      <c r="A3" t="s">
        <v>0</v>
      </c>
      <c r="B3" t="s">
        <v>46</v>
      </c>
    </row>
    <row r="4" spans="1:2">
      <c r="A4" t="s">
        <v>3</v>
      </c>
      <c r="B4">
        <v>31900</v>
      </c>
    </row>
    <row r="5" spans="1:2">
      <c r="A5" t="s">
        <v>4</v>
      </c>
      <c r="B5">
        <v>24100</v>
      </c>
    </row>
    <row r="6" spans="1:2">
      <c r="A6" t="s">
        <v>5</v>
      </c>
      <c r="B6">
        <v>25800</v>
      </c>
    </row>
    <row r="7" spans="1:2">
      <c r="A7" t="s">
        <v>6</v>
      </c>
      <c r="B7">
        <v>20400</v>
      </c>
    </row>
    <row r="8" spans="1:2">
      <c r="A8" t="s">
        <v>7</v>
      </c>
      <c r="B8">
        <v>26500</v>
      </c>
    </row>
    <row r="9" spans="1:2">
      <c r="A9" t="s">
        <v>8</v>
      </c>
      <c r="B9">
        <v>20900</v>
      </c>
    </row>
    <row r="10" spans="1:2">
      <c r="A10" t="s">
        <v>9</v>
      </c>
      <c r="B10">
        <v>149600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7"/>
    </sheetView>
  </sheetViews>
  <sheetFormatPr defaultColWidth="9.14285714285714" defaultRowHeight="15" outlineLevelRow="6" outlineLevelCol="7"/>
  <sheetData>
    <row r="1" ht="30" spans="1:8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>
      <c r="A2" s="2" t="s">
        <v>6</v>
      </c>
      <c r="B2" s="3">
        <v>45659</v>
      </c>
      <c r="C2" s="2">
        <v>5100</v>
      </c>
      <c r="D2" s="2">
        <v>8400</v>
      </c>
      <c r="E2" s="2">
        <v>3200</v>
      </c>
      <c r="F2" s="2">
        <v>2100</v>
      </c>
      <c r="G2" s="2">
        <v>1600</v>
      </c>
      <c r="H2" s="2">
        <v>20400</v>
      </c>
    </row>
    <row r="3" ht="30" spans="1:8">
      <c r="A3" s="2" t="s">
        <v>4</v>
      </c>
      <c r="B3" s="3">
        <v>45660</v>
      </c>
      <c r="C3" s="2">
        <v>6400</v>
      </c>
      <c r="D3" s="2">
        <v>9200</v>
      </c>
      <c r="E3" s="2">
        <v>4300</v>
      </c>
      <c r="F3" s="2">
        <v>2500</v>
      </c>
      <c r="G3" s="2">
        <v>1700</v>
      </c>
      <c r="H3" s="2">
        <v>24100</v>
      </c>
    </row>
    <row r="4" ht="30" spans="1:8">
      <c r="A4" s="2" t="s">
        <v>5</v>
      </c>
      <c r="B4" s="3">
        <v>45660</v>
      </c>
      <c r="C4" s="2">
        <v>7300</v>
      </c>
      <c r="D4" s="2">
        <v>11500</v>
      </c>
      <c r="E4" s="2">
        <v>2300</v>
      </c>
      <c r="F4" s="2">
        <v>3200</v>
      </c>
      <c r="G4" s="2">
        <v>1500</v>
      </c>
      <c r="H4" s="2">
        <v>25800</v>
      </c>
    </row>
    <row r="5" spans="1:8">
      <c r="A5" s="2" t="s">
        <v>8</v>
      </c>
      <c r="B5" s="3">
        <v>45661</v>
      </c>
      <c r="C5" s="2">
        <v>4800</v>
      </c>
      <c r="D5" s="2">
        <v>10100</v>
      </c>
      <c r="E5" s="2">
        <v>2600</v>
      </c>
      <c r="F5" s="2">
        <v>2100</v>
      </c>
      <c r="G5" s="2">
        <v>1300</v>
      </c>
      <c r="H5" s="2">
        <v>20900</v>
      </c>
    </row>
    <row r="6" ht="30" spans="1:8">
      <c r="A6" s="2" t="s">
        <v>3</v>
      </c>
      <c r="B6" s="3">
        <v>45661</v>
      </c>
      <c r="C6" s="2">
        <v>5600</v>
      </c>
      <c r="D6" s="2">
        <v>15400</v>
      </c>
      <c r="E6" s="2">
        <v>6200</v>
      </c>
      <c r="F6" s="2">
        <v>2900</v>
      </c>
      <c r="G6" s="2">
        <v>1800</v>
      </c>
      <c r="H6" s="2">
        <v>31900</v>
      </c>
    </row>
    <row r="7" ht="30" spans="1:8">
      <c r="A7" s="2" t="s">
        <v>7</v>
      </c>
      <c r="B7" s="3">
        <v>45662</v>
      </c>
      <c r="C7" s="2">
        <v>6500</v>
      </c>
      <c r="D7" s="2">
        <v>9800</v>
      </c>
      <c r="E7" s="2">
        <v>5200</v>
      </c>
      <c r="F7" s="2">
        <v>3000</v>
      </c>
      <c r="G7" s="2">
        <v>2000</v>
      </c>
      <c r="H7" s="2">
        <v>26500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content_pivot</vt:lpstr>
      <vt:lpstr>Content Performance</vt:lpstr>
      <vt:lpstr>subscription_pivot</vt:lpstr>
      <vt:lpstr>Subscription Funnel</vt:lpstr>
      <vt:lpstr>Traffic_pivot</vt:lpstr>
      <vt:lpstr>Traffic Source</vt:lpstr>
      <vt:lpstr>Sheet4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</dc:creator>
  <cp:lastModifiedBy>p pooja</cp:lastModifiedBy>
  <dcterms:created xsi:type="dcterms:W3CDTF">2025-12-09T01:59:00Z</dcterms:created>
  <dcterms:modified xsi:type="dcterms:W3CDTF">2025-12-09T13:59:41Z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1FF341828C1A4A32B6D23064EB77AC19_11</vt:lpwstr>
  </property>
  <property fmtid="{D5CDD505-2E9C-101B-9397-08002B2CF9AE}" pid="3" name="KSOProductBuildVer">
    <vt:lpwstr>1033-12.2.0.23155</vt:lpwstr>
  </property>
</Properties>
</file>